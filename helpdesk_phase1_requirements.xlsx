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unctional Requirements" sheetId="2" state="visible" r:id="rId4"/>
    <sheet name="Roles &amp; Permissions" sheetId="3" state="visible" r:id="rId5"/>
    <sheet name="Non-Functional" sheetId="4" state="visible" r:id="rId6"/>
    <sheet name="AI Rules &amp; Risks" sheetId="5" state="visible" r:id="rId7"/>
    <sheet name="Scope &amp; Assumptions" sheetId="6" state="visible" r:id="rId8"/>
    <sheet name="Open Items" sheetId="7" state="visible" r:id="rId9"/>
    <sheet name="Phase 1 Acceptance" sheetId="8" state="visible" r:id="rId10"/>
  </sheets>
  <definedNames>
    <definedName function="false" hidden="true" localSheetId="4" name="_xlnm._FilterDatabase" vbProcedure="false">'AI Rules &amp; Risks'!$A$1:$C$7</definedName>
    <definedName function="false" hidden="true" localSheetId="1" name="_xlnm._FilterDatabase" vbProcedure="false">'Functional Requirements'!$A$1:$G$21</definedName>
    <definedName function="false" hidden="true" localSheetId="3" name="_xlnm._FilterDatabase" vbProcedure="false">'Non-Functional'!$A$1:$D$9</definedName>
    <definedName function="false" hidden="true" localSheetId="6" name="_xlnm._FilterDatabase" vbProcedure="false">'Open Items'!$A$1:$D$9</definedName>
    <definedName function="false" hidden="true" localSheetId="7" name="_xlnm._FilterDatabase" vbProcedure="false">'Phase 1 Acceptance'!$A$1:$B$6</definedName>
    <definedName function="false" hidden="true" localSheetId="2" name="_xlnm._FilterDatabase" vbProcedure="false">'Roles &amp; Permissions'!$A$1:$D$4</definedName>
    <definedName function="false" hidden="true" localSheetId="5" name="_xlnm._FilterDatabase" vbProcedure="false">'Scope &amp; Assumptions'!$A$1:$C$16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<sst xmlns="http://schemas.openxmlformats.org/spreadsheetml/2006/main" count="275" uniqueCount="153">
  <si>
    <t xml:space="preserve">AI Helpdesk - Phase 1 Requirements Tracker</t>
  </si>
  <si>
    <t xml:space="preserve">Yellow cells are for you to edit (Priority, Status, Approval, Notes, Decisions). Counts below update automatically.</t>
  </si>
  <si>
    <t xml:space="preserve">Requirements by priority</t>
  </si>
  <si>
    <t xml:space="preserve">Count</t>
  </si>
  <si>
    <t xml:space="preserve">Must (MVP)</t>
  </si>
  <si>
    <t xml:space="preserve">Should (v1.0)</t>
  </si>
  <si>
    <t xml:space="preserve">Could (later)</t>
  </si>
  <si>
    <t xml:space="preserve">Total</t>
  </si>
  <si>
    <t xml:space="preserve">Requirements by status</t>
  </si>
  <si>
    <t xml:space="preserve">Planned</t>
  </si>
  <si>
    <t xml:space="preserve">In Progress</t>
  </si>
  <si>
    <t xml:space="preserve">Implemented</t>
  </si>
  <si>
    <t xml:space="preserve">Tested</t>
  </si>
  <si>
    <t xml:space="preserve">Approval progress</t>
  </si>
  <si>
    <t xml:space="preserve">Requirements approved</t>
  </si>
  <si>
    <t xml:space="preserve">Open items unresolved</t>
  </si>
  <si>
    <t xml:space="preserve">Acceptance criteria done</t>
  </si>
  <si>
    <t xml:space="preserve">Acceptance criteria total</t>
  </si>
  <si>
    <t xml:space="preserve">Status key: Planned = not built yet. Only mark Implemented/Tested once code exists and tests were actually run.</t>
  </si>
  <si>
    <t xml:space="preserve">Priority key: M = MVP (must ship), S = Should have (v1.0), C = Could have (later).</t>
  </si>
  <si>
    <t xml:space="preserve">#</t>
  </si>
  <si>
    <t xml:space="preserve">Module</t>
  </si>
  <si>
    <t xml:space="preserve">Requirement</t>
  </si>
  <si>
    <t xml:space="preserve">Priority (M/S/C)</t>
  </si>
  <si>
    <t xml:space="preserve">Status</t>
  </si>
  <si>
    <t xml:space="preserve">Approval</t>
  </si>
  <si>
    <t xml:space="preserve">Notes</t>
  </si>
  <si>
    <t xml:space="preserve">Auth</t>
  </si>
  <si>
    <t xml:space="preserve">Sign up/in/out, secure sessions, password reset, email verification</t>
  </si>
  <si>
    <t xml:space="preserve">M</t>
  </si>
  <si>
    <t xml:space="preserve">Pending</t>
  </si>
  <si>
    <t xml:space="preserve">Authorization</t>
  </si>
  <si>
    <t xml:space="preserve">Admin/Agent/Customer RBAC enforced server-side</t>
  </si>
  <si>
    <t xml:space="preserve">Tickets</t>
  </si>
  <si>
    <t xml:space="preserve">Create, view, edit, close/reopen tickets</t>
  </si>
  <si>
    <t xml:space="preserve">Assignment</t>
  </si>
  <si>
    <t xml:space="preserve">Assign/reassign to agent; 'unassigned' queue</t>
  </si>
  <si>
    <t xml:space="preserve">Status &amp; priority</t>
  </si>
  <si>
    <t xml:space="preserve">Statuses: Open, In Progress, Waiting on Customer, Resolved, Closed. Priorities: Low, Medium, High, Urgent</t>
  </si>
  <si>
    <t xml:space="preserve">Conversations</t>
  </si>
  <si>
    <t xml:space="preserve">Threaded replies between customer and agents</t>
  </si>
  <si>
    <t xml:space="preserve">Internal notes</t>
  </si>
  <si>
    <t xml:space="preserve">Agent-only notes, never visible to customers</t>
  </si>
  <si>
    <t xml:space="preserve">Categories</t>
  </si>
  <si>
    <t xml:space="preserve">Admin-managed categories (e.g., Billing, Technical, Account)</t>
  </si>
  <si>
    <t xml:space="preserve">AI classification</t>
  </si>
  <si>
    <t xml:space="preserve">Suggest category + priority on new tickets</t>
  </si>
  <si>
    <t xml:space="preserve">S</t>
  </si>
  <si>
    <t xml:space="preserve">AI replies</t>
  </si>
  <si>
    <t xml:space="preserve">Suggest a draft reply; agent must review before sending</t>
  </si>
  <si>
    <t xml:space="preserve">AI summaries</t>
  </si>
  <si>
    <t xml:space="preserve">Summarize long threads</t>
  </si>
  <si>
    <t xml:space="preserve">Dashboard</t>
  </si>
  <si>
    <t xml:space="preserve">Counts by status, avg first-response time, volume trend, agent workload</t>
  </si>
  <si>
    <t xml:space="preserve">Search/filter/sort</t>
  </si>
  <si>
    <t xml:space="preserve">Full-text search; filter by status/priority/assignee/category/date</t>
  </si>
  <si>
    <t xml:space="preserve">Customer mgmt</t>
  </si>
  <si>
    <t xml:space="preserve">Customer list, profile, ticket history</t>
  </si>
  <si>
    <t xml:space="preserve">Email notifications</t>
  </si>
  <si>
    <t xml:space="preserve">Notify on new ticket, reply, assignment, status change</t>
  </si>
  <si>
    <t xml:space="preserve">Email-to-ticket</t>
  </si>
  <si>
    <t xml:space="preserve">Inbound email creates or appends to a ticket</t>
  </si>
  <si>
    <t xml:space="preserve">Background jobs</t>
  </si>
  <si>
    <t xml:space="preserve">Queue for emails, AI calls, inbound email processing, with retries</t>
  </si>
  <si>
    <t xml:space="preserve">Audit logs</t>
  </si>
  <si>
    <t xml:space="preserve">Record who did what, when (role changes, assignment, deletes, logins)</t>
  </si>
  <si>
    <t xml:space="preserve">User mgmt</t>
  </si>
  <si>
    <t xml:space="preserve">Admin creates/deactivates users, changes roles</t>
  </si>
  <si>
    <t xml:space="preserve">Deployment</t>
  </si>
  <si>
    <t xml:space="preserve">Dockerized, CI/CD, hosted on Railway, monitored with Sentry</t>
  </si>
  <si>
    <t xml:space="preserve">Role</t>
  </si>
  <si>
    <t xml:space="preserve">Who they are</t>
  </si>
  <si>
    <t xml:space="preserve">Can do</t>
  </si>
  <si>
    <t xml:space="preserve">Cannot do</t>
  </si>
  <si>
    <t xml:space="preserve">Customer</t>
  </si>
  <si>
    <t xml:space="preserve">Person with an issue</t>
  </si>
  <si>
    <t xml:space="preserve">Create tickets, view their own tickets, reply, see public replies only</t>
  </si>
  <si>
    <t xml:space="preserve">See other customers' tickets, internal notes, AI output, audit logs</t>
  </si>
  <si>
    <t xml:space="preserve">Agent</t>
  </si>
  <si>
    <t xml:space="preserve">Support staff</t>
  </si>
  <si>
    <t xml:space="preserve">View/work assigned and unassigned tickets, reply, add internal notes, change status/priority/category, use AI tools</t>
  </si>
  <si>
    <t xml:space="preserve">Manage users, view system-wide audit logs, change system settings</t>
  </si>
  <si>
    <t xml:space="preserve">Admin</t>
  </si>
  <si>
    <t xml:space="preserve">Team lead / owner</t>
  </si>
  <si>
    <t xml:space="preserve">Everything an agent can, plus user management, categories, analytics, audit logs, settings</t>
  </si>
  <si>
    <t xml:space="preserve">Nothing is off-limits, but sensitive actions are audit-logged</t>
  </si>
  <si>
    <t xml:space="preserve">All rules above must be enforced on the backend, not only hidden in the UI.</t>
  </si>
  <si>
    <t xml:space="preserve">Area</t>
  </si>
  <si>
    <t xml:space="preserve">Security</t>
  </si>
  <si>
    <t xml:space="preserve">Server-side authorization on every endpoint, input validation (Zod), hashed passwords, secure cookies, rate limiting, no secrets in frontend, protection against OWASP Top 10 (injection, broken access control, XSS, CSRF)</t>
  </si>
  <si>
    <t xml:space="preserve">Privacy</t>
  </si>
  <si>
    <t xml:space="preserve">Customer data visible only to those who need it; AI prompts must not leak data across customers</t>
  </si>
  <si>
    <t xml:space="preserve">Reliability</t>
  </si>
  <si>
    <t xml:space="preserve">AI or email failures must never block ticket creation; failed jobs retry and are visible</t>
  </si>
  <si>
    <t xml:space="preserve">Performance</t>
  </si>
  <si>
    <t xml:space="preserve">Lists paginated; typical non-AI API response under ~300 ms (target to verify later, not a promise)</t>
  </si>
  <si>
    <t xml:space="preserve">Accessibility</t>
  </si>
  <si>
    <t xml:space="preserve">Keyboard navigable, sensible contrast and labels (WCAG 2.1 AA as the goal)</t>
  </si>
  <si>
    <t xml:space="preserve">Maintainability</t>
  </si>
  <si>
    <t xml:space="preserve">Strict TypeScript, modular code, consistent naming, tests on critical paths</t>
  </si>
  <si>
    <t xml:space="preserve">Observability</t>
  </si>
  <si>
    <t xml:space="preserve">Error tracking (Sentry), structured logs</t>
  </si>
  <si>
    <t xml:space="preserve">Cost control</t>
  </si>
  <si>
    <t xml:space="preserve">AI calls metered, limited per user/time, cached where safe</t>
  </si>
  <si>
    <t xml:space="preserve">Type</t>
  </si>
  <si>
    <t xml:space="preserve">Item</t>
  </si>
  <si>
    <t xml:space="preserve">Addressed in</t>
  </si>
  <si>
    <t xml:space="preserve">Rule</t>
  </si>
  <si>
    <t xml:space="preserve">AI assists, never acts alone: no auto-sending replies, no auto-closing tickets</t>
  </si>
  <si>
    <t xml:space="preserve">Phase 3</t>
  </si>
  <si>
    <t xml:space="preserve">Every AI output is labeled as AI-generated and is editable</t>
  </si>
  <si>
    <t xml:space="preserve">Risk</t>
  </si>
  <si>
    <t xml:space="preserve">Wrong classification</t>
  </si>
  <si>
    <t xml:space="preserve">Hallucinated answers</t>
  </si>
  <si>
    <t xml:space="preserve">Prompt injection from ticket text (customers can write anything)</t>
  </si>
  <si>
    <t xml:space="preserve">PII sent to a third-party API</t>
  </si>
  <si>
    <t xml:space="preserve">Decision</t>
  </si>
  <si>
    <t xml:space="preserve">Assumption</t>
  </si>
  <si>
    <t xml:space="preserve">Single organization (one company's helpdesk), not multi-tenant SaaS</t>
  </si>
  <si>
    <t xml:space="preserve">Customers can self-register; agents/admins are created by an admin</t>
  </si>
  <si>
    <t xml:space="preserve">English only</t>
  </si>
  <si>
    <t xml:space="preserve">Transactional email provider (e.g., Resend or Postmark); final choice in Phase 3</t>
  </si>
  <si>
    <t xml:space="preserve">File attachments not in MVP, added in v1.0</t>
  </si>
  <si>
    <t xml:space="preserve">One ticket has one assignee at a time</t>
  </si>
  <si>
    <t xml:space="preserve">Free/low-tier hosting and a small OpenAI budget are acceptable</t>
  </si>
  <si>
    <t xml:space="preserve">Out of scope</t>
  </si>
  <si>
    <t xml:space="preserve">Live chat</t>
  </si>
  <si>
    <t xml:space="preserve">Phone/voice</t>
  </si>
  <si>
    <t xml:space="preserve">SLA contracts with breach automation</t>
  </si>
  <si>
    <t xml:space="preserve">Multi-tenant / multi-company support</t>
  </si>
  <si>
    <t xml:space="preserve">Knowledge-base portal</t>
  </si>
  <si>
    <t xml:space="preserve">Mobile apps</t>
  </si>
  <si>
    <t xml:space="preserve">Billing / subscriptions</t>
  </si>
  <si>
    <t xml:space="preserve">File-attachment virus scanning (flagged as a decision)</t>
  </si>
  <si>
    <t xml:space="preserve">Open item</t>
  </si>
  <si>
    <t xml:space="preserve">Decision / answer</t>
  </si>
  <si>
    <t xml:space="preserve">Resolved?</t>
  </si>
  <si>
    <t xml:space="preserve">File attachments: common in support; assumed v1.0. Confirm.</t>
  </si>
  <si>
    <t xml:space="preserve">No</t>
  </si>
  <si>
    <t xml:space="preserve">Ticket lifecycle rules: who can reopen a closed ticket; auto-close after N days of silence?</t>
  </si>
  <si>
    <t xml:space="preserve">Notification preferences: can users opt out of emails?</t>
  </si>
  <si>
    <t xml:space="preserve">Data retention and deletion: soft vs. hard delete; 'delete my data' requests</t>
  </si>
  <si>
    <t xml:space="preserve">Rate limiting and abuse protection on public ticket creation and inbound email (spam)</t>
  </si>
  <si>
    <t xml:space="preserve">Email-to-ticket threading: how replies are matched to the right ticket (Phase 3 design)</t>
  </si>
  <si>
    <t xml:space="preserve">Verify current docs/versions of Better Auth, Prisma, Vercel AI SDK before locking the stack (Phase 3)</t>
  </si>
  <si>
    <t xml:space="preserve">Background jobs need Redis or a Postgres-based queue on Railway (Phase 3 decision)</t>
  </si>
  <si>
    <t xml:space="preserve">Acceptance criterion</t>
  </si>
  <si>
    <t xml:space="preserve">Done?</t>
  </si>
  <si>
    <t xml:space="preserve">Agree with the three roles and their permissions</t>
  </si>
  <si>
    <t xml:space="preserve">Agree with the MVP / Should / Could split</t>
  </si>
  <si>
    <t xml:space="preserve">Accepted or changed each assumption</t>
  </si>
  <si>
    <t xml:space="preserve">Agree with the out-of-scope list</t>
  </si>
  <si>
    <t xml:space="preserve">Open items have an answer or an explicit 'decide later'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</si>
</sst>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f aca="false">COUNTIF('Functional Requirements'!$D$2:$D$21,"M")</f>
        <v>10</v>
      </c>
    </row>
    <row r="6" customFormat="false" ht="15" hidden="false" customHeight="false" outlineLevel="0" collapsed="false">
      <c r="A6" s="4" t="s">
        <v>5</v>
      </c>
      <c r="B6" s="4" t="n">
        <f aca="false">COUNTIF('Functional Requirements'!$D$2:$D$21,"S")</f>
        <v>10</v>
      </c>
    </row>
    <row r="7" customFormat="false" ht="15" hidden="false" customHeight="false" outlineLevel="0" collapsed="false">
      <c r="A7" s="4" t="s">
        <v>6</v>
      </c>
      <c r="B7" s="4" t="n">
        <f aca="false">COUNTIF('Functional Requirements'!$D$2:$D$21,"C")</f>
        <v>0</v>
      </c>
    </row>
    <row r="8" customFormat="false" ht="15" hidden="false" customHeight="false" outlineLevel="0" collapsed="false">
      <c r="A8" s="5" t="s">
        <v>7</v>
      </c>
      <c r="B8" s="5" t="n">
        <f aca="false">SUM(B5:B7)</f>
        <v>20</v>
      </c>
    </row>
    <row r="10" customFormat="false" ht="15" hidden="false" customHeight="false" outlineLevel="0" collapsed="false">
      <c r="A10" s="3" t="s">
        <v>8</v>
      </c>
      <c r="B10" s="3" t="s">
        <v>3</v>
      </c>
    </row>
    <row r="11" customFormat="false" ht="15" hidden="false" customHeight="false" outlineLevel="0" collapsed="false">
      <c r="A11" s="4" t="s">
        <v>9</v>
      </c>
      <c r="B11" s="4" t="n">
        <f aca="false">COUNTIF('Functional Requirements'!$E$2:$E$21,"Planned")</f>
        <v>20</v>
      </c>
    </row>
    <row r="12" customFormat="false" ht="15" hidden="false" customHeight="false" outlineLevel="0" collapsed="false">
      <c r="A12" s="4" t="s">
        <v>10</v>
      </c>
      <c r="B12" s="4" t="n">
        <f aca="false">COUNTIF('Functional Requirements'!$E$2:$E$21,"In Progress")</f>
        <v>0</v>
      </c>
    </row>
    <row r="13" customFormat="false" ht="15" hidden="false" customHeight="false" outlineLevel="0" collapsed="false">
      <c r="A13" s="4" t="s">
        <v>11</v>
      </c>
      <c r="B13" s="4" t="n">
        <f aca="false">COUNTIF('Functional Requirements'!$E$2:$E$21,"Implemented")</f>
        <v>0</v>
      </c>
    </row>
    <row r="14" customFormat="false" ht="15" hidden="false" customHeight="false" outlineLevel="0" collapsed="false">
      <c r="A14" s="4" t="s">
        <v>12</v>
      </c>
      <c r="B14" s="4" t="n">
        <f aca="false">COUNTIF('Functional Requirements'!$E$2:$E$21,"Tested")</f>
        <v>0</v>
      </c>
    </row>
    <row r="16" customFormat="false" ht="15" hidden="false" customHeight="false" outlineLevel="0" collapsed="false">
      <c r="A16" s="3" t="s">
        <v>13</v>
      </c>
      <c r="B16" s="3" t="s">
        <v>3</v>
      </c>
    </row>
    <row r="17" customFormat="false" ht="15" hidden="false" customHeight="false" outlineLevel="0" collapsed="false">
      <c r="A17" s="4" t="s">
        <v>14</v>
      </c>
      <c r="B17" s="4" t="n">
        <f aca="false">COUNTIF('Functional Requirements'!$F$2:$F$21,"Approved")</f>
        <v>0</v>
      </c>
    </row>
    <row r="18" customFormat="false" ht="15" hidden="false" customHeight="false" outlineLevel="0" collapsed="false">
      <c r="A18" s="4" t="s">
        <v>15</v>
      </c>
      <c r="B18" s="4" t="n">
        <f aca="false">COUNTIF('Open Items'!$D$2:$D$9,"No")</f>
        <v>8</v>
      </c>
    </row>
    <row r="19" customFormat="false" ht="15" hidden="false" customHeight="false" outlineLevel="0" collapsed="false">
      <c r="A19" s="4" t="s">
        <v>16</v>
      </c>
      <c r="B19" s="4" t="n">
        <f aca="false">COUNTIF('Phase 1 Acceptance'!$B$2:$B$6,"Yes")</f>
        <v>0</v>
      </c>
    </row>
    <row r="20" customFormat="false" ht="15" hidden="false" customHeight="false" outlineLevel="0" collapsed="false">
      <c r="A20" s="4" t="s">
        <v>17</v>
      </c>
      <c r="B20" s="4" t="n">
        <f aca="false">COUNTA('Phase 1 Acceptance'!$A$2:$A$6)</f>
        <v>5</v>
      </c>
    </row>
    <row r="22" customFormat="false" ht="15" hidden="false" customHeight="false" outlineLevel="0" collapsed="false">
      <c r="A22" s="6" t="s">
        <v>18</v>
      </c>
    </row>
    <row r="23" customFormat="false" ht="15" hidden="false" customHeight="false" outlineLevel="0" collapsed="false">
      <c r="A23" s="6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70"/>
    <col collapsed="false" customWidth="true" hidden="false" outlineLevel="0" max="6" min="4" style="0" width="14"/>
    <col collapsed="false" customWidth="true" hidden="false" outlineLevel="0" max="7" min="7" style="0" width="35"/>
  </cols>
  <sheetData>
    <row r="1" customFormat="false" ht="23.85" hidden="false" customHeight="false" outlineLevel="0" collapsed="false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</row>
    <row r="2" customFormat="false" ht="15" hidden="false" customHeight="false" outlineLevel="0" collapsed="false">
      <c r="A2" s="8" t="n">
        <v>1</v>
      </c>
      <c r="B2" s="9" t="s">
        <v>27</v>
      </c>
      <c r="C2" s="9" t="s">
        <v>28</v>
      </c>
      <c r="D2" s="10" t="s">
        <v>29</v>
      </c>
      <c r="E2" s="11" t="s">
        <v>9</v>
      </c>
      <c r="F2" s="11" t="s">
        <v>30</v>
      </c>
      <c r="G2" s="11"/>
    </row>
    <row r="3" customFormat="false" ht="15" hidden="false" customHeight="false" outlineLevel="0" collapsed="false">
      <c r="A3" s="8" t="n">
        <v>2</v>
      </c>
      <c r="B3" s="9" t="s">
        <v>31</v>
      </c>
      <c r="C3" s="9" t="s">
        <v>32</v>
      </c>
      <c r="D3" s="10" t="s">
        <v>29</v>
      </c>
      <c r="E3" s="11" t="s">
        <v>9</v>
      </c>
      <c r="F3" s="11" t="s">
        <v>30</v>
      </c>
      <c r="G3" s="11"/>
    </row>
    <row r="4" customFormat="false" ht="15" hidden="false" customHeight="false" outlineLevel="0" collapsed="false">
      <c r="A4" s="8" t="n">
        <v>3</v>
      </c>
      <c r="B4" s="9" t="s">
        <v>33</v>
      </c>
      <c r="C4" s="9" t="s">
        <v>34</v>
      </c>
      <c r="D4" s="10" t="s">
        <v>29</v>
      </c>
      <c r="E4" s="11" t="s">
        <v>9</v>
      </c>
      <c r="F4" s="11" t="s">
        <v>30</v>
      </c>
      <c r="G4" s="11"/>
    </row>
    <row r="5" customFormat="false" ht="15" hidden="false" customHeight="false" outlineLevel="0" collapsed="false">
      <c r="A5" s="8" t="n">
        <v>4</v>
      </c>
      <c r="B5" s="9" t="s">
        <v>35</v>
      </c>
      <c r="C5" s="9" t="s">
        <v>36</v>
      </c>
      <c r="D5" s="10" t="s">
        <v>29</v>
      </c>
      <c r="E5" s="11" t="s">
        <v>9</v>
      </c>
      <c r="F5" s="11" t="s">
        <v>30</v>
      </c>
      <c r="G5" s="11"/>
    </row>
    <row r="6" customFormat="false" ht="23.85" hidden="false" customHeight="false" outlineLevel="0" collapsed="false">
      <c r="A6" s="8" t="n">
        <v>5</v>
      </c>
      <c r="B6" s="9" t="s">
        <v>37</v>
      </c>
      <c r="C6" s="9" t="s">
        <v>38</v>
      </c>
      <c r="D6" s="10" t="s">
        <v>29</v>
      </c>
      <c r="E6" s="11" t="s">
        <v>9</v>
      </c>
      <c r="F6" s="11" t="s">
        <v>30</v>
      </c>
      <c r="G6" s="11"/>
    </row>
    <row r="7" customFormat="false" ht="15" hidden="false" customHeight="false" outlineLevel="0" collapsed="false">
      <c r="A7" s="8" t="n">
        <v>6</v>
      </c>
      <c r="B7" s="9" t="s">
        <v>39</v>
      </c>
      <c r="C7" s="9" t="s">
        <v>40</v>
      </c>
      <c r="D7" s="10" t="s">
        <v>29</v>
      </c>
      <c r="E7" s="11" t="s">
        <v>9</v>
      </c>
      <c r="F7" s="11" t="s">
        <v>30</v>
      </c>
      <c r="G7" s="11"/>
    </row>
    <row r="8" customFormat="false" ht="15" hidden="false" customHeight="false" outlineLevel="0" collapsed="false">
      <c r="A8" s="8" t="n">
        <v>7</v>
      </c>
      <c r="B8" s="9" t="s">
        <v>41</v>
      </c>
      <c r="C8" s="9" t="s">
        <v>42</v>
      </c>
      <c r="D8" s="10" t="s">
        <v>29</v>
      </c>
      <c r="E8" s="11" t="s">
        <v>9</v>
      </c>
      <c r="F8" s="11" t="s">
        <v>30</v>
      </c>
      <c r="G8" s="11"/>
    </row>
    <row r="9" customFormat="false" ht="15" hidden="false" customHeight="false" outlineLevel="0" collapsed="false">
      <c r="A9" s="8" t="n">
        <v>8</v>
      </c>
      <c r="B9" s="9" t="s">
        <v>43</v>
      </c>
      <c r="C9" s="9" t="s">
        <v>44</v>
      </c>
      <c r="D9" s="10" t="s">
        <v>29</v>
      </c>
      <c r="E9" s="11" t="s">
        <v>9</v>
      </c>
      <c r="F9" s="11" t="s">
        <v>30</v>
      </c>
      <c r="G9" s="11"/>
    </row>
    <row r="10" customFormat="false" ht="15" hidden="false" customHeight="false" outlineLevel="0" collapsed="false">
      <c r="A10" s="8" t="n">
        <v>9</v>
      </c>
      <c r="B10" s="9" t="s">
        <v>45</v>
      </c>
      <c r="C10" s="9" t="s">
        <v>46</v>
      </c>
      <c r="D10" s="10" t="s">
        <v>47</v>
      </c>
      <c r="E10" s="11" t="s">
        <v>9</v>
      </c>
      <c r="F10" s="11" t="s">
        <v>30</v>
      </c>
      <c r="G10" s="11"/>
    </row>
    <row r="11" customFormat="false" ht="15" hidden="false" customHeight="false" outlineLevel="0" collapsed="false">
      <c r="A11" s="8" t="n">
        <v>10</v>
      </c>
      <c r="B11" s="9" t="s">
        <v>48</v>
      </c>
      <c r="C11" s="9" t="s">
        <v>49</v>
      </c>
      <c r="D11" s="10" t="s">
        <v>47</v>
      </c>
      <c r="E11" s="11" t="s">
        <v>9</v>
      </c>
      <c r="F11" s="11" t="s">
        <v>30</v>
      </c>
      <c r="G11" s="11"/>
    </row>
    <row r="12" customFormat="false" ht="15" hidden="false" customHeight="false" outlineLevel="0" collapsed="false">
      <c r="A12" s="8" t="n">
        <v>11</v>
      </c>
      <c r="B12" s="9" t="s">
        <v>50</v>
      </c>
      <c r="C12" s="9" t="s">
        <v>51</v>
      </c>
      <c r="D12" s="10" t="s">
        <v>47</v>
      </c>
      <c r="E12" s="11" t="s">
        <v>9</v>
      </c>
      <c r="F12" s="11" t="s">
        <v>30</v>
      </c>
      <c r="G12" s="11"/>
    </row>
    <row r="13" customFormat="false" ht="15" hidden="false" customHeight="false" outlineLevel="0" collapsed="false">
      <c r="A13" s="8" t="n">
        <v>12</v>
      </c>
      <c r="B13" s="9" t="s">
        <v>52</v>
      </c>
      <c r="C13" s="9" t="s">
        <v>53</v>
      </c>
      <c r="D13" s="10" t="s">
        <v>47</v>
      </c>
      <c r="E13" s="11" t="s">
        <v>9</v>
      </c>
      <c r="F13" s="11" t="s">
        <v>30</v>
      </c>
      <c r="G13" s="11"/>
    </row>
    <row r="14" customFormat="false" ht="15" hidden="false" customHeight="false" outlineLevel="0" collapsed="false">
      <c r="A14" s="8" t="n">
        <v>13</v>
      </c>
      <c r="B14" s="9" t="s">
        <v>54</v>
      </c>
      <c r="C14" s="9" t="s">
        <v>55</v>
      </c>
      <c r="D14" s="10" t="s">
        <v>29</v>
      </c>
      <c r="E14" s="11" t="s">
        <v>9</v>
      </c>
      <c r="F14" s="11" t="s">
        <v>30</v>
      </c>
      <c r="G14" s="11"/>
    </row>
    <row r="15" customFormat="false" ht="15" hidden="false" customHeight="false" outlineLevel="0" collapsed="false">
      <c r="A15" s="8" t="n">
        <v>14</v>
      </c>
      <c r="B15" s="9" t="s">
        <v>56</v>
      </c>
      <c r="C15" s="9" t="s">
        <v>57</v>
      </c>
      <c r="D15" s="10" t="s">
        <v>47</v>
      </c>
      <c r="E15" s="11" t="s">
        <v>9</v>
      </c>
      <c r="F15" s="11" t="s">
        <v>30</v>
      </c>
      <c r="G15" s="11"/>
    </row>
    <row r="16" customFormat="false" ht="15" hidden="false" customHeight="false" outlineLevel="0" collapsed="false">
      <c r="A16" s="8" t="n">
        <v>15</v>
      </c>
      <c r="B16" s="9" t="s">
        <v>58</v>
      </c>
      <c r="C16" s="9" t="s">
        <v>59</v>
      </c>
      <c r="D16" s="10" t="s">
        <v>47</v>
      </c>
      <c r="E16" s="11" t="s">
        <v>9</v>
      </c>
      <c r="F16" s="11" t="s">
        <v>30</v>
      </c>
      <c r="G16" s="11"/>
    </row>
    <row r="17" customFormat="false" ht="15" hidden="false" customHeight="false" outlineLevel="0" collapsed="false">
      <c r="A17" s="8" t="n">
        <v>16</v>
      </c>
      <c r="B17" s="9" t="s">
        <v>60</v>
      </c>
      <c r="C17" s="9" t="s">
        <v>61</v>
      </c>
      <c r="D17" s="10" t="s">
        <v>47</v>
      </c>
      <c r="E17" s="11" t="s">
        <v>9</v>
      </c>
      <c r="F17" s="11" t="s">
        <v>30</v>
      </c>
      <c r="G17" s="11"/>
    </row>
    <row r="18" customFormat="false" ht="15" hidden="false" customHeight="false" outlineLevel="0" collapsed="false">
      <c r="A18" s="8" t="n">
        <v>17</v>
      </c>
      <c r="B18" s="9" t="s">
        <v>62</v>
      </c>
      <c r="C18" s="9" t="s">
        <v>63</v>
      </c>
      <c r="D18" s="10" t="s">
        <v>47</v>
      </c>
      <c r="E18" s="11" t="s">
        <v>9</v>
      </c>
      <c r="F18" s="11" t="s">
        <v>30</v>
      </c>
      <c r="G18" s="11"/>
    </row>
    <row r="19" customFormat="false" ht="15" hidden="false" customHeight="false" outlineLevel="0" collapsed="false">
      <c r="A19" s="8" t="n">
        <v>18</v>
      </c>
      <c r="B19" s="9" t="s">
        <v>64</v>
      </c>
      <c r="C19" s="9" t="s">
        <v>65</v>
      </c>
      <c r="D19" s="10" t="s">
        <v>47</v>
      </c>
      <c r="E19" s="11" t="s">
        <v>9</v>
      </c>
      <c r="F19" s="11" t="s">
        <v>30</v>
      </c>
      <c r="G19" s="11"/>
    </row>
    <row r="20" customFormat="false" ht="15" hidden="false" customHeight="false" outlineLevel="0" collapsed="false">
      <c r="A20" s="8" t="n">
        <v>19</v>
      </c>
      <c r="B20" s="9" t="s">
        <v>66</v>
      </c>
      <c r="C20" s="9" t="s">
        <v>67</v>
      </c>
      <c r="D20" s="10" t="s">
        <v>29</v>
      </c>
      <c r="E20" s="11" t="s">
        <v>9</v>
      </c>
      <c r="F20" s="11" t="s">
        <v>30</v>
      </c>
      <c r="G20" s="11"/>
    </row>
    <row r="21" customFormat="false" ht="15" hidden="false" customHeight="false" outlineLevel="0" collapsed="false">
      <c r="A21" s="8" t="n">
        <v>20</v>
      </c>
      <c r="B21" s="9" t="s">
        <v>68</v>
      </c>
      <c r="C21" s="9" t="s">
        <v>69</v>
      </c>
      <c r="D21" s="10" t="s">
        <v>47</v>
      </c>
      <c r="E21" s="11" t="s">
        <v>9</v>
      </c>
      <c r="F21" s="11" t="s">
        <v>30</v>
      </c>
      <c r="G21" s="11"/>
    </row>
  </sheetData>
  <autoFilter ref="A1:G21"/>
  <dataValidations count="3">
    <dataValidation allowBlank="false" errorStyle="stop" operator="between" showDropDown="false" showErrorMessage="false" showInputMessage="false" sqref="D2:D21" type="list">
      <formula1>"M,S,C"</formula1>
      <formula2>0</formula2>
    </dataValidation>
    <dataValidation allowBlank="false" errorStyle="stop" operator="between" showDropDown="false" showErrorMessage="false" showInputMessage="false" sqref="E2:E21" type="list">
      <formula1>"Planned,In Progress,Implemented,Tested"</formula1>
      <formula2>0</formula2>
    </dataValidation>
    <dataValidation allowBlank="false" errorStyle="stop" operator="between" showDropDown="false" showErrorMessage="false" showInputMessage="false" sqref="F2:F21" type="list">
      <formula1>"Pending,Approved,Changed,Dropped"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7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7" t="s">
        <v>70</v>
      </c>
      <c r="B1" s="7" t="s">
        <v>71</v>
      </c>
      <c r="C1" s="7" t="s">
        <v>72</v>
      </c>
      <c r="D1" s="7" t="s">
        <v>73</v>
      </c>
    </row>
    <row r="2" customFormat="false" ht="15" hidden="false" customHeight="false" outlineLevel="0" collapsed="false">
      <c r="A2" s="9" t="s">
        <v>74</v>
      </c>
      <c r="B2" s="9" t="s">
        <v>75</v>
      </c>
      <c r="C2" s="9" t="s">
        <v>76</v>
      </c>
      <c r="D2" s="9" t="s">
        <v>77</v>
      </c>
    </row>
    <row r="3" customFormat="false" ht="23.85" hidden="false" customHeight="false" outlineLevel="0" collapsed="false">
      <c r="A3" s="9" t="s">
        <v>78</v>
      </c>
      <c r="B3" s="9" t="s">
        <v>79</v>
      </c>
      <c r="C3" s="9" t="s">
        <v>80</v>
      </c>
      <c r="D3" s="9" t="s">
        <v>81</v>
      </c>
    </row>
    <row r="4" customFormat="false" ht="23.85" hidden="false" customHeight="false" outlineLevel="0" collapsed="false">
      <c r="A4" s="9" t="s">
        <v>82</v>
      </c>
      <c r="B4" s="9" t="s">
        <v>83</v>
      </c>
      <c r="C4" s="9" t="s">
        <v>84</v>
      </c>
      <c r="D4" s="9" t="s">
        <v>85</v>
      </c>
    </row>
    <row r="6" customFormat="false" ht="15" hidden="false" customHeight="false" outlineLevel="0" collapsed="false">
      <c r="A6" s="2" t="s">
        <v>86</v>
      </c>
    </row>
  </sheetData>
  <autoFilter ref="A1:D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  <col collapsed="false" customWidth="true" hidden="false" outlineLevel="0" max="3" min="3" style="0" width="14"/>
    <col collapsed="false" customWidth="true" hidden="false" outlineLevel="0" max="4" min="4" style="0" width="35"/>
  </cols>
  <sheetData>
    <row r="1" customFormat="false" ht="15" hidden="false" customHeight="false" outlineLevel="0" collapsed="false">
      <c r="A1" s="7" t="s">
        <v>87</v>
      </c>
      <c r="B1" s="7" t="s">
        <v>22</v>
      </c>
      <c r="C1" s="7" t="s">
        <v>24</v>
      </c>
      <c r="D1" s="7" t="s">
        <v>26</v>
      </c>
    </row>
    <row r="2" customFormat="false" ht="35.05" hidden="false" customHeight="false" outlineLevel="0" collapsed="false">
      <c r="A2" s="9" t="s">
        <v>88</v>
      </c>
      <c r="B2" s="9" t="s">
        <v>89</v>
      </c>
      <c r="C2" s="11" t="s">
        <v>9</v>
      </c>
      <c r="D2" s="11"/>
    </row>
    <row r="3" customFormat="false" ht="15" hidden="false" customHeight="false" outlineLevel="0" collapsed="false">
      <c r="A3" s="9" t="s">
        <v>90</v>
      </c>
      <c r="B3" s="9" t="s">
        <v>91</v>
      </c>
      <c r="C3" s="11" t="s">
        <v>9</v>
      </c>
      <c r="D3" s="11"/>
    </row>
    <row r="4" customFormat="false" ht="15" hidden="false" customHeight="false" outlineLevel="0" collapsed="false">
      <c r="A4" s="9" t="s">
        <v>92</v>
      </c>
      <c r="B4" s="9" t="s">
        <v>93</v>
      </c>
      <c r="C4" s="11" t="s">
        <v>9</v>
      </c>
      <c r="D4" s="11"/>
    </row>
    <row r="5" customFormat="false" ht="15" hidden="false" customHeight="false" outlineLevel="0" collapsed="false">
      <c r="A5" s="9" t="s">
        <v>94</v>
      </c>
      <c r="B5" s="9" t="s">
        <v>95</v>
      </c>
      <c r="C5" s="11" t="s">
        <v>9</v>
      </c>
      <c r="D5" s="11"/>
    </row>
    <row r="6" customFormat="false" ht="15" hidden="false" customHeight="false" outlineLevel="0" collapsed="false">
      <c r="A6" s="9" t="s">
        <v>96</v>
      </c>
      <c r="B6" s="9" t="s">
        <v>97</v>
      </c>
      <c r="C6" s="11" t="s">
        <v>9</v>
      </c>
      <c r="D6" s="11"/>
    </row>
    <row r="7" customFormat="false" ht="15" hidden="false" customHeight="false" outlineLevel="0" collapsed="false">
      <c r="A7" s="9" t="s">
        <v>98</v>
      </c>
      <c r="B7" s="9" t="s">
        <v>99</v>
      </c>
      <c r="C7" s="11" t="s">
        <v>9</v>
      </c>
      <c r="D7" s="11"/>
    </row>
    <row r="8" customFormat="false" ht="15" hidden="false" customHeight="false" outlineLevel="0" collapsed="false">
      <c r="A8" s="9" t="s">
        <v>100</v>
      </c>
      <c r="B8" s="9" t="s">
        <v>101</v>
      </c>
      <c r="C8" s="11" t="s">
        <v>9</v>
      </c>
      <c r="D8" s="11"/>
    </row>
    <row r="9" customFormat="false" ht="15" hidden="false" customHeight="false" outlineLevel="0" collapsed="false">
      <c r="A9" s="9" t="s">
        <v>102</v>
      </c>
      <c r="B9" s="9" t="s">
        <v>103</v>
      </c>
      <c r="C9" s="11" t="s">
        <v>9</v>
      </c>
      <c r="D9" s="11"/>
    </row>
  </sheetData>
  <autoFilter ref="A1:D9"/>
  <dataValidations count="1">
    <dataValidation allowBlank="false" errorStyle="stop" operator="between" showDropDown="false" showErrorMessage="false" showInputMessage="false" sqref="C2:C9" type="list">
      <formula1>"Planned,In Progress,Implemented,Tested"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0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7" t="s">
        <v>104</v>
      </c>
      <c r="B1" s="7" t="s">
        <v>105</v>
      </c>
      <c r="C1" s="7" t="s">
        <v>106</v>
      </c>
    </row>
    <row r="2" customFormat="false" ht="15" hidden="false" customHeight="false" outlineLevel="0" collapsed="false">
      <c r="A2" s="9" t="s">
        <v>107</v>
      </c>
      <c r="B2" s="9" t="s">
        <v>108</v>
      </c>
      <c r="C2" s="9" t="s">
        <v>109</v>
      </c>
    </row>
    <row r="3" customFormat="false" ht="15" hidden="false" customHeight="false" outlineLevel="0" collapsed="false">
      <c r="A3" s="9" t="s">
        <v>107</v>
      </c>
      <c r="B3" s="9" t="s">
        <v>110</v>
      </c>
      <c r="C3" s="9" t="s">
        <v>109</v>
      </c>
    </row>
    <row r="4" customFormat="false" ht="15" hidden="false" customHeight="false" outlineLevel="0" collapsed="false">
      <c r="A4" s="9" t="s">
        <v>111</v>
      </c>
      <c r="B4" s="9" t="s">
        <v>112</v>
      </c>
      <c r="C4" s="9" t="s">
        <v>109</v>
      </c>
    </row>
    <row r="5" customFormat="false" ht="15" hidden="false" customHeight="false" outlineLevel="0" collapsed="false">
      <c r="A5" s="9" t="s">
        <v>111</v>
      </c>
      <c r="B5" s="9" t="s">
        <v>113</v>
      </c>
      <c r="C5" s="9" t="s">
        <v>109</v>
      </c>
    </row>
    <row r="6" customFormat="false" ht="15" hidden="false" customHeight="false" outlineLevel="0" collapsed="false">
      <c r="A6" s="9" t="s">
        <v>111</v>
      </c>
      <c r="B6" s="9" t="s">
        <v>114</v>
      </c>
      <c r="C6" s="9" t="s">
        <v>109</v>
      </c>
    </row>
    <row r="7" customFormat="false" ht="15" hidden="false" customHeight="false" outlineLevel="0" collapsed="false">
      <c r="A7" s="9" t="s">
        <v>111</v>
      </c>
      <c r="B7" s="9" t="s">
        <v>115</v>
      </c>
      <c r="C7" s="9" t="s">
        <v>109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5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7" t="s">
        <v>104</v>
      </c>
      <c r="B1" s="7" t="s">
        <v>105</v>
      </c>
      <c r="C1" s="7" t="s">
        <v>116</v>
      </c>
    </row>
    <row r="2" customFormat="false" ht="15" hidden="false" customHeight="false" outlineLevel="0" collapsed="false">
      <c r="A2" s="9" t="s">
        <v>117</v>
      </c>
      <c r="B2" s="9" t="s">
        <v>118</v>
      </c>
      <c r="C2" s="11" t="s">
        <v>30</v>
      </c>
    </row>
    <row r="3" customFormat="false" ht="15" hidden="false" customHeight="false" outlineLevel="0" collapsed="false">
      <c r="A3" s="9" t="s">
        <v>117</v>
      </c>
      <c r="B3" s="9" t="s">
        <v>119</v>
      </c>
      <c r="C3" s="11" t="s">
        <v>30</v>
      </c>
    </row>
    <row r="4" customFormat="false" ht="15" hidden="false" customHeight="false" outlineLevel="0" collapsed="false">
      <c r="A4" s="9" t="s">
        <v>117</v>
      </c>
      <c r="B4" s="9" t="s">
        <v>120</v>
      </c>
      <c r="C4" s="11" t="s">
        <v>30</v>
      </c>
    </row>
    <row r="5" customFormat="false" ht="15" hidden="false" customHeight="false" outlineLevel="0" collapsed="false">
      <c r="A5" s="9" t="s">
        <v>117</v>
      </c>
      <c r="B5" s="9" t="s">
        <v>121</v>
      </c>
      <c r="C5" s="11" t="s">
        <v>30</v>
      </c>
    </row>
    <row r="6" customFormat="false" ht="15" hidden="false" customHeight="false" outlineLevel="0" collapsed="false">
      <c r="A6" s="9" t="s">
        <v>117</v>
      </c>
      <c r="B6" s="9" t="s">
        <v>122</v>
      </c>
      <c r="C6" s="11" t="s">
        <v>30</v>
      </c>
    </row>
    <row r="7" customFormat="false" ht="15" hidden="false" customHeight="false" outlineLevel="0" collapsed="false">
      <c r="A7" s="9" t="s">
        <v>117</v>
      </c>
      <c r="B7" s="9" t="s">
        <v>123</v>
      </c>
      <c r="C7" s="11" t="s">
        <v>30</v>
      </c>
    </row>
    <row r="8" customFormat="false" ht="15" hidden="false" customHeight="false" outlineLevel="0" collapsed="false">
      <c r="A8" s="9" t="s">
        <v>117</v>
      </c>
      <c r="B8" s="9" t="s">
        <v>124</v>
      </c>
      <c r="C8" s="11" t="s">
        <v>30</v>
      </c>
    </row>
    <row r="9" customFormat="false" ht="15" hidden="false" customHeight="false" outlineLevel="0" collapsed="false">
      <c r="A9" s="9" t="s">
        <v>125</v>
      </c>
      <c r="B9" s="9" t="s">
        <v>126</v>
      </c>
      <c r="C9" s="11" t="s">
        <v>30</v>
      </c>
    </row>
    <row r="10" customFormat="false" ht="15" hidden="false" customHeight="false" outlineLevel="0" collapsed="false">
      <c r="A10" s="9" t="s">
        <v>125</v>
      </c>
      <c r="B10" s="9" t="s">
        <v>127</v>
      </c>
      <c r="C10" s="11" t="s">
        <v>30</v>
      </c>
    </row>
    <row r="11" customFormat="false" ht="15" hidden="false" customHeight="false" outlineLevel="0" collapsed="false">
      <c r="A11" s="9" t="s">
        <v>125</v>
      </c>
      <c r="B11" s="9" t="s">
        <v>128</v>
      </c>
      <c r="C11" s="11" t="s">
        <v>30</v>
      </c>
    </row>
    <row r="12" customFormat="false" ht="15" hidden="false" customHeight="false" outlineLevel="0" collapsed="false">
      <c r="A12" s="9" t="s">
        <v>125</v>
      </c>
      <c r="B12" s="9" t="s">
        <v>129</v>
      </c>
      <c r="C12" s="11" t="s">
        <v>30</v>
      </c>
    </row>
    <row r="13" customFormat="false" ht="15" hidden="false" customHeight="false" outlineLevel="0" collapsed="false">
      <c r="A13" s="9" t="s">
        <v>125</v>
      </c>
      <c r="B13" s="9" t="s">
        <v>130</v>
      </c>
      <c r="C13" s="11" t="s">
        <v>30</v>
      </c>
    </row>
    <row r="14" customFormat="false" ht="15" hidden="false" customHeight="false" outlineLevel="0" collapsed="false">
      <c r="A14" s="9" t="s">
        <v>125</v>
      </c>
      <c r="B14" s="9" t="s">
        <v>131</v>
      </c>
      <c r="C14" s="11" t="s">
        <v>30</v>
      </c>
    </row>
    <row r="15" customFormat="false" ht="15" hidden="false" customHeight="false" outlineLevel="0" collapsed="false">
      <c r="A15" s="9" t="s">
        <v>125</v>
      </c>
      <c r="B15" s="9" t="s">
        <v>132</v>
      </c>
      <c r="C15" s="11" t="s">
        <v>30</v>
      </c>
    </row>
    <row r="16" customFormat="false" ht="15" hidden="false" customHeight="false" outlineLevel="0" collapsed="false">
      <c r="A16" s="9" t="s">
        <v>125</v>
      </c>
      <c r="B16" s="9" t="s">
        <v>133</v>
      </c>
      <c r="C16" s="11" t="s">
        <v>30</v>
      </c>
    </row>
  </sheetData>
  <autoFilter ref="A1:C16"/>
  <dataValidations count="1">
    <dataValidation allowBlank="false" errorStyle="stop" operator="between" showDropDown="false" showErrorMessage="false" showInputMessage="false" sqref="C2:C16" type="list">
      <formula1>"Pending,Accepted,Changed"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5"/>
    <col collapsed="false" customWidth="true" hidden="false" outlineLevel="0" max="3" min="3" style="0" width="4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7" t="s">
        <v>20</v>
      </c>
      <c r="B1" s="7" t="s">
        <v>134</v>
      </c>
      <c r="C1" s="7" t="s">
        <v>135</v>
      </c>
      <c r="D1" s="7" t="s">
        <v>136</v>
      </c>
    </row>
    <row r="2" customFormat="false" ht="15" hidden="false" customHeight="false" outlineLevel="0" collapsed="false">
      <c r="A2" s="9" t="n">
        <v>1</v>
      </c>
      <c r="B2" s="9" t="s">
        <v>137</v>
      </c>
      <c r="C2" s="11"/>
      <c r="D2" s="11" t="s">
        <v>138</v>
      </c>
    </row>
    <row r="3" customFormat="false" ht="15" hidden="false" customHeight="false" outlineLevel="0" collapsed="false">
      <c r="A3" s="9" t="n">
        <v>2</v>
      </c>
      <c r="B3" s="9" t="s">
        <v>139</v>
      </c>
      <c r="C3" s="11"/>
      <c r="D3" s="11" t="s">
        <v>138</v>
      </c>
    </row>
    <row r="4" customFormat="false" ht="15" hidden="false" customHeight="false" outlineLevel="0" collapsed="false">
      <c r="A4" s="9" t="n">
        <v>3</v>
      </c>
      <c r="B4" s="9" t="s">
        <v>140</v>
      </c>
      <c r="C4" s="11"/>
      <c r="D4" s="11" t="s">
        <v>138</v>
      </c>
    </row>
    <row r="5" customFormat="false" ht="15" hidden="false" customHeight="false" outlineLevel="0" collapsed="false">
      <c r="A5" s="9" t="n">
        <v>4</v>
      </c>
      <c r="B5" s="9" t="s">
        <v>141</v>
      </c>
      <c r="C5" s="11"/>
      <c r="D5" s="11" t="s">
        <v>138</v>
      </c>
    </row>
    <row r="6" customFormat="false" ht="15" hidden="false" customHeight="false" outlineLevel="0" collapsed="false">
      <c r="A6" s="9" t="n">
        <v>5</v>
      </c>
      <c r="B6" s="9" t="s">
        <v>142</v>
      </c>
      <c r="C6" s="11"/>
      <c r="D6" s="11" t="s">
        <v>138</v>
      </c>
    </row>
    <row r="7" customFormat="false" ht="15" hidden="false" customHeight="false" outlineLevel="0" collapsed="false">
      <c r="A7" s="9" t="n">
        <v>6</v>
      </c>
      <c r="B7" s="9" t="s">
        <v>143</v>
      </c>
      <c r="C7" s="11"/>
      <c r="D7" s="11" t="s">
        <v>138</v>
      </c>
    </row>
    <row r="8" customFormat="false" ht="15" hidden="false" customHeight="false" outlineLevel="0" collapsed="false">
      <c r="A8" s="9" t="n">
        <v>7</v>
      </c>
      <c r="B8" s="9" t="s">
        <v>144</v>
      </c>
      <c r="C8" s="11"/>
      <c r="D8" s="11" t="s">
        <v>138</v>
      </c>
    </row>
    <row r="9" customFormat="false" ht="15" hidden="false" customHeight="false" outlineLevel="0" collapsed="false">
      <c r="A9" s="9" t="n">
        <v>8</v>
      </c>
      <c r="B9" s="9" t="s">
        <v>145</v>
      </c>
      <c r="C9" s="11"/>
      <c r="D9" s="11" t="s">
        <v>138</v>
      </c>
    </row>
  </sheetData>
  <autoFilter ref="A1:D9"/>
  <dataValidations count="1">
    <dataValidation allowBlank="false" errorStyle="stop" operator="between" showDropDown="false" showErrorMessage="false" showInputMessage="false" sqref="D2:D9" type="list">
      <formula1>"Yes,No,Decide later"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7" t="s">
        <v>146</v>
      </c>
      <c r="B1" s="7" t="s">
        <v>147</v>
      </c>
    </row>
    <row r="2" customFormat="false" ht="15" hidden="false" customHeight="false" outlineLevel="0" collapsed="false">
      <c r="A2" s="9" t="s">
        <v>148</v>
      </c>
      <c r="B2" s="11" t="s">
        <v>138</v>
      </c>
    </row>
    <row r="3" customFormat="false" ht="15" hidden="false" customHeight="false" outlineLevel="0" collapsed="false">
      <c r="A3" s="9" t="s">
        <v>149</v>
      </c>
      <c r="B3" s="11" t="s">
        <v>138</v>
      </c>
    </row>
    <row r="4" customFormat="false" ht="15" hidden="false" customHeight="false" outlineLevel="0" collapsed="false">
      <c r="A4" s="9" t="s">
        <v>150</v>
      </c>
      <c r="B4" s="11" t="s">
        <v>138</v>
      </c>
    </row>
    <row r="5" customFormat="false" ht="15" hidden="false" customHeight="false" outlineLevel="0" collapsed="false">
      <c r="A5" s="9" t="s">
        <v>151</v>
      </c>
      <c r="B5" s="11" t="s">
        <v>138</v>
      </c>
    </row>
    <row r="6" customFormat="false" ht="15" hidden="false" customHeight="false" outlineLevel="0" collapsed="false">
      <c r="A6" s="9" t="s">
        <v>152</v>
      </c>
      <c r="B6" s="11" t="s">
        <v>138</v>
      </c>
    </row>
  </sheetData>
  <autoFilter ref="A1:B6"/>
  <dataValidations count="1">
    <dataValidation allowBlank="false" errorStyle="stop" operator="between" showDropDown="false" showErrorMessage="false" showInputMessage="false" sqref="B2:B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2026-10-04T09:05:53Z</dcterms:created>
  <dc:creator>openpyxl</dc:creator>
  <dc:description/>
  <dc:language>en-US</dc:language>
  <cp:lastModifiedBy/>
  <dcterms:modified xsi:type="dcterms:W3CDTF">2026-10-04T09:05:53Z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